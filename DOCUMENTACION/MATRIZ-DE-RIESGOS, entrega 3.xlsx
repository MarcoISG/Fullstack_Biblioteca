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lor\Downloads\"/>
    </mc:Choice>
  </mc:AlternateContent>
  <xr:revisionPtr revIDLastSave="0" documentId="8_{287ABC80-B5A1-44B5-9B84-C39D56488855}" xr6:coauthVersionLast="47" xr6:coauthVersionMax="47" xr10:uidLastSave="{00000000-0000-0000-0000-000000000000}"/>
  <bookViews>
    <workbookView xWindow="-98" yWindow="-98" windowWidth="21795" windowHeight="12975" xr2:uid="{133C5D67-8D0E-487B-9FC2-C7E9782F2B57}"/>
  </bookViews>
  <sheets>
    <sheet name="DAT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 s="1"/>
  <c r="D5" i="1"/>
  <c r="E5" i="1" s="1"/>
  <c r="D7" i="1"/>
  <c r="E7" i="1" s="1"/>
  <c r="D8" i="1"/>
  <c r="E8" i="1" s="1"/>
  <c r="D9" i="1"/>
  <c r="E9" i="1" s="1"/>
  <c r="D10" i="1"/>
  <c r="E10" i="1"/>
  <c r="D11" i="1"/>
  <c r="E11" i="1"/>
  <c r="D12" i="1"/>
  <c r="E12" i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/>
  <c r="E4" i="1"/>
</calcChain>
</file>

<file path=xl/sharedStrings.xml><?xml version="1.0" encoding="utf-8"?>
<sst xmlns="http://schemas.openxmlformats.org/spreadsheetml/2006/main" count="29" uniqueCount="29">
  <si>
    <t>MATRIZ DE RIESGOS</t>
  </si>
  <si>
    <t>MUY ALTA</t>
  </si>
  <si>
    <t>ALTA</t>
  </si>
  <si>
    <t>MEDIA</t>
  </si>
  <si>
    <t>BAJA</t>
  </si>
  <si>
    <t>MUY BAJA</t>
  </si>
  <si>
    <t>RIESGO</t>
  </si>
  <si>
    <t>LEYENDA</t>
  </si>
  <si>
    <t>GRAVEDAD (IMPACTO)</t>
  </si>
  <si>
    <r>
      <t xml:space="preserve">MUY BAJO </t>
    </r>
    <r>
      <rPr>
        <b/>
        <sz val="10"/>
        <rFont val="Arial Narrow"/>
        <family val="2"/>
      </rPr>
      <t>1</t>
    </r>
  </si>
  <si>
    <r>
      <t xml:space="preserve">BAJO         </t>
    </r>
    <r>
      <rPr>
        <b/>
        <sz val="10"/>
        <rFont val="Arial Narrow"/>
        <family val="2"/>
      </rPr>
      <t>2</t>
    </r>
  </si>
  <si>
    <r>
      <t xml:space="preserve">MEDIO        </t>
    </r>
    <r>
      <rPr>
        <b/>
        <sz val="10"/>
        <rFont val="Arial Narrow"/>
        <family val="2"/>
      </rPr>
      <t>3</t>
    </r>
  </si>
  <si>
    <r>
      <t xml:space="preserve">ALTO     </t>
    </r>
    <r>
      <rPr>
        <b/>
        <sz val="10"/>
        <rFont val="Arial Narrow"/>
        <family val="2"/>
      </rPr>
      <t xml:space="preserve"> 4</t>
    </r>
  </si>
  <si>
    <r>
      <t xml:space="preserve">MUY ALTO </t>
    </r>
    <r>
      <rPr>
        <b/>
        <sz val="10"/>
        <rFont val="Arial Narrow"/>
        <family val="2"/>
      </rPr>
      <t>5</t>
    </r>
  </si>
  <si>
    <t>APARICIÓN (probabilidad)</t>
  </si>
  <si>
    <t>Swagger UI no carga o no muestra endpoints.</t>
  </si>
  <si>
    <t>Swagger deja endpoints principales sin documentar.</t>
  </si>
  <si>
    <t>Swagger muestra códigos HTTP distintos a la API.</t>
  </si>
  <si>
    <t>Swagger no incluye autenticación JWT en los endpoints protegidos.</t>
  </si>
  <si>
    <t>Las respuestas HATEOAS no incluyen _links.</t>
  </si>
  <si>
    <t>Los enlaces HATEOAS apuntan a rutas incorrectas.</t>
  </si>
  <si>
    <t>El controlador V2 cambia la respuesta del endpoint original.</t>
  </si>
  <si>
    <t>Dependencias Maven incompatibles impiden compilar.</t>
  </si>
  <si>
    <t>Maven no detecta o no ejecuta pruebas JUnit.</t>
  </si>
  <si>
    <t>Mocks de Mockito no validan correctamente el servicio.</t>
  </si>
  <si>
    <t>Las pruebas no cubren las operaciones CRUD principales.</t>
  </si>
  <si>
    <t>Datos inválidos generan errores 500 no controlados.</t>
  </si>
  <si>
    <t>Las pruebas no cubren recursos inexistentes.</t>
  </si>
  <si>
    <t>El despliegue omite variables, puerto o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</si>
</sst>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b/>
      <sz val="12"/>
      <name val="Arial"/>
      <family val="2"/>
    </font>
    <font>
      <sz val="14"/>
      <name val="Arial"/>
    </font>
    <font>
      <sz val="8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Fill="1" applyBorder="1"/>
    <xf numFmtId="0" fontId="3" fillId="0" borderId="0" xfId="0" applyFont="1" applyAlignment="1">
      <alignment horizontal="center" vertical="center"/>
    </xf>
    <xf numFmtId="0" fontId="0" fillId="0" borderId="0" xfId="0" applyBorder="1" applyAlignment="1"/>
    <xf numFmtId="0" fontId="4" fillId="0" borderId="0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0" fillId="0" borderId="0" xfId="0" applyFill="1"/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justify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8</xdr:row>
      <xdr:rowOff>38100</xdr:rowOff>
    </xdr:from>
    <xdr:to>
      <xdr:col>14</xdr:col>
      <xdr:colOff>0</xdr:colOff>
      <xdr:row>20</xdr:row>
      <xdr:rowOff>114300</xdr:rowOff>
    </xdr:to>
    <xdr:grpSp>
      <xdr:nvGrpSpPr>
        <xdr:cNvPr id="1136" name="Group 101">
          <a:extLst>
            <a:ext uri="{FF2B5EF4-FFF2-40B4-BE49-F238E27FC236}">
              <a16:creationId xmlns:a16="http://schemas.microsoft.com/office/drawing/2014/main" id="{D2224281-3095-3D55-FE74-BBBB86CB35BB}"/>
            </a:ext>
          </a:extLst>
        </xdr:cNvPr>
        <xdr:cNvGrpSpPr>
          <a:grpSpLocks/>
        </xdr:cNvGrpSpPr>
      </xdr:nvGrpSpPr>
      <xdr:grpSpPr bwMode="auto">
        <a:xfrm>
          <a:off x="5295900" y="2533650"/>
          <a:ext cx="4652963" cy="3000375"/>
          <a:chOff x="118" y="432"/>
          <a:chExt cx="570" cy="160"/>
        </a:xfrm>
      </xdr:grpSpPr>
      <xdr:sp macro="" textlink="">
        <xdr:nvSpPr>
          <xdr:cNvPr id="1141" name="Rectangle 94">
            <a:extLst>
              <a:ext uri="{FF2B5EF4-FFF2-40B4-BE49-F238E27FC236}">
                <a16:creationId xmlns:a16="http://schemas.microsoft.com/office/drawing/2014/main" id="{8AB117C3-CA05-ED02-53BC-6D9D29F18480}"/>
              </a:ext>
            </a:extLst>
          </xdr:cNvPr>
          <xdr:cNvSpPr>
            <a:spLocks noChangeArrowheads="1"/>
          </xdr:cNvSpPr>
        </xdr:nvSpPr>
        <xdr:spPr bwMode="auto">
          <a:xfrm>
            <a:off x="118" y="432"/>
            <a:ext cx="88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13" name="Text Box 89">
            <a:extLst>
              <a:ext uri="{FF2B5EF4-FFF2-40B4-BE49-F238E27FC236}">
                <a16:creationId xmlns:a16="http://schemas.microsoft.com/office/drawing/2014/main" id="{2D5990B3-1ECE-E4F0-A06B-FFC72087C0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432"/>
            <a:ext cx="482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000" tIns="10800" rIns="18000" bIns="10800" anchor="ctr" upright="1"/>
          <a:lstStyle/>
          <a:p>
            <a:pPr algn="l" rtl="0">
              <a:defRPr sz="1000"/>
            </a:pPr>
            <a:r>
              <a:rPr lang="es-CL" sz="1000" b="0" i="0" u="none" strike="noStrike" baseline="0">
                <a:solidFill>
                  <a:srgbClr val="000000"/>
                </a:solidFill>
                <a:latin typeface="Arial Narrow"/>
              </a:rPr>
              <a:t>Riesgo muy grave. Requiere medidas preventivas urgentes. No se debe iniciar el proyecto sin la aplicación de medidas preventivas urgentes y sin acotar sólidamente el riesgo.</a:t>
            </a:r>
          </a:p>
        </xdr:txBody>
      </xdr:sp>
      <xdr:sp macro="" textlink="">
        <xdr:nvSpPr>
          <xdr:cNvPr id="1114" name="Text Box 90">
            <a:extLst>
              <a:ext uri="{FF2B5EF4-FFF2-40B4-BE49-F238E27FC236}">
                <a16:creationId xmlns:a16="http://schemas.microsoft.com/office/drawing/2014/main" id="{F192F74D-8E6F-93C7-FA38-30596EF9D4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472"/>
            <a:ext cx="482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000" tIns="10800" rIns="18000" bIns="10800" anchor="ctr" upright="1"/>
          <a:lstStyle/>
          <a:p>
            <a:pPr algn="l" rtl="0">
              <a:defRPr sz="1000"/>
            </a:pPr>
            <a:r>
              <a:rPr lang="es-CL" sz="1000" b="0" i="0" u="none" strike="noStrike" baseline="0">
                <a:solidFill>
                  <a:srgbClr val="000000"/>
                </a:solidFill>
                <a:latin typeface="Arial Narrow"/>
              </a:rPr>
              <a:t>Riesgo importante. Medidas preventivas obligatorias. Se deben controlar fuertemente llas variables de riesgo durante el proyecto.</a:t>
            </a:r>
          </a:p>
        </xdr:txBody>
      </xdr:sp>
      <xdr:sp macro="" textlink="">
        <xdr:nvSpPr>
          <xdr:cNvPr id="1115" name="Text Box 91">
            <a:extLst>
              <a:ext uri="{FF2B5EF4-FFF2-40B4-BE49-F238E27FC236}">
                <a16:creationId xmlns:a16="http://schemas.microsoft.com/office/drawing/2014/main" id="{704AD936-349E-2780-9EC2-F632D56101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512"/>
            <a:ext cx="482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000" tIns="10800" rIns="18000" bIns="10800" anchor="ctr" upright="1"/>
          <a:lstStyle/>
          <a:p>
            <a:pPr algn="l" rtl="0">
              <a:defRPr sz="1000"/>
            </a:pPr>
            <a:r>
              <a:rPr lang="es-CL" sz="1000" b="0" i="0" u="none" strike="noStrike" baseline="0">
                <a:solidFill>
                  <a:srgbClr val="000000"/>
                </a:solidFill>
                <a:latin typeface="Arial Narrow"/>
              </a:rPr>
              <a:t>Riesgo apreciable. Estudiar económicamente ai es posible introducir medidas preventivas para reducir el nivel de riesgo. Si no fuera posible, mantener las variables controladas.</a:t>
            </a:r>
          </a:p>
        </xdr:txBody>
      </xdr:sp>
      <xdr:sp macro="" textlink="">
        <xdr:nvSpPr>
          <xdr:cNvPr id="1116" name="Text Box 92">
            <a:extLst>
              <a:ext uri="{FF2B5EF4-FFF2-40B4-BE49-F238E27FC236}">
                <a16:creationId xmlns:a16="http://schemas.microsoft.com/office/drawing/2014/main" id="{A9B112D3-DA3C-8C9E-6769-DBC31FD0A9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552"/>
            <a:ext cx="482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000" tIns="10800" rIns="18000" bIns="10800" anchor="ctr" upright="1"/>
          <a:lstStyle/>
          <a:p>
            <a:pPr algn="l" rtl="0">
              <a:defRPr sz="1000"/>
            </a:pPr>
            <a:r>
              <a:rPr lang="es-CL" sz="1000" b="0" i="0" u="none" strike="noStrike" baseline="0">
                <a:solidFill>
                  <a:srgbClr val="000000"/>
                </a:solidFill>
                <a:latin typeface="Arial Narrow"/>
              </a:rPr>
              <a:t>Riesgo marginal.Se vigilará aunque no requiere medidas preventivas de partida.</a:t>
            </a:r>
          </a:p>
        </xdr:txBody>
      </xdr:sp>
      <xdr:sp macro="" textlink="">
        <xdr:nvSpPr>
          <xdr:cNvPr id="1146" name="Rectangle 93">
            <a:extLst>
              <a:ext uri="{FF2B5EF4-FFF2-40B4-BE49-F238E27FC236}">
                <a16:creationId xmlns:a16="http://schemas.microsoft.com/office/drawing/2014/main" id="{788723AB-E26A-F254-EDC1-BAD6F6B1BB01}"/>
              </a:ext>
            </a:extLst>
          </xdr:cNvPr>
          <xdr:cNvSpPr>
            <a:spLocks noChangeArrowheads="1"/>
          </xdr:cNvSpPr>
        </xdr:nvSpPr>
        <xdr:spPr bwMode="auto">
          <a:xfrm>
            <a:off x="138" y="441"/>
            <a:ext cx="50" cy="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47" name="Rectangle 95">
            <a:extLst>
              <a:ext uri="{FF2B5EF4-FFF2-40B4-BE49-F238E27FC236}">
                <a16:creationId xmlns:a16="http://schemas.microsoft.com/office/drawing/2014/main" id="{4B8BE10C-284D-BA6D-E6DD-C53DE7D79E6B}"/>
              </a:ext>
            </a:extLst>
          </xdr:cNvPr>
          <xdr:cNvSpPr>
            <a:spLocks noChangeArrowheads="1"/>
          </xdr:cNvSpPr>
        </xdr:nvSpPr>
        <xdr:spPr bwMode="auto">
          <a:xfrm>
            <a:off x="118" y="472"/>
            <a:ext cx="88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48" name="Rectangle 96">
            <a:extLst>
              <a:ext uri="{FF2B5EF4-FFF2-40B4-BE49-F238E27FC236}">
                <a16:creationId xmlns:a16="http://schemas.microsoft.com/office/drawing/2014/main" id="{C064EA28-CF21-8290-4400-74E309963CE7}"/>
              </a:ext>
            </a:extLst>
          </xdr:cNvPr>
          <xdr:cNvSpPr>
            <a:spLocks noChangeArrowheads="1"/>
          </xdr:cNvSpPr>
        </xdr:nvSpPr>
        <xdr:spPr bwMode="auto">
          <a:xfrm>
            <a:off x="138" y="481"/>
            <a:ext cx="50" cy="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49" name="Rectangle 97">
            <a:extLst>
              <a:ext uri="{FF2B5EF4-FFF2-40B4-BE49-F238E27FC236}">
                <a16:creationId xmlns:a16="http://schemas.microsoft.com/office/drawing/2014/main" id="{5D68E852-A3F9-8ED6-FC4B-7FB66A542C00}"/>
              </a:ext>
            </a:extLst>
          </xdr:cNvPr>
          <xdr:cNvSpPr>
            <a:spLocks noChangeArrowheads="1"/>
          </xdr:cNvSpPr>
        </xdr:nvSpPr>
        <xdr:spPr bwMode="auto">
          <a:xfrm>
            <a:off x="118" y="512"/>
            <a:ext cx="88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50" name="Rectangle 98">
            <a:extLst>
              <a:ext uri="{FF2B5EF4-FFF2-40B4-BE49-F238E27FC236}">
                <a16:creationId xmlns:a16="http://schemas.microsoft.com/office/drawing/2014/main" id="{3BB49C6A-C2C2-2C9A-2F0D-1AFC240D705B}"/>
              </a:ext>
            </a:extLst>
          </xdr:cNvPr>
          <xdr:cNvSpPr>
            <a:spLocks noChangeArrowheads="1"/>
          </xdr:cNvSpPr>
        </xdr:nvSpPr>
        <xdr:spPr bwMode="auto">
          <a:xfrm>
            <a:off x="138" y="521"/>
            <a:ext cx="50" cy="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51" name="Rectangle 99">
            <a:extLst>
              <a:ext uri="{FF2B5EF4-FFF2-40B4-BE49-F238E27FC236}">
                <a16:creationId xmlns:a16="http://schemas.microsoft.com/office/drawing/2014/main" id="{6E373813-4259-52CC-09BA-4AB42351B085}"/>
              </a:ext>
            </a:extLst>
          </xdr:cNvPr>
          <xdr:cNvSpPr>
            <a:spLocks noChangeArrowheads="1"/>
          </xdr:cNvSpPr>
        </xdr:nvSpPr>
        <xdr:spPr bwMode="auto">
          <a:xfrm>
            <a:off x="118" y="552"/>
            <a:ext cx="88" cy="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52" name="Rectangle 100">
            <a:extLst>
              <a:ext uri="{FF2B5EF4-FFF2-40B4-BE49-F238E27FC236}">
                <a16:creationId xmlns:a16="http://schemas.microsoft.com/office/drawing/2014/main" id="{700DB7FA-81F5-4E4B-4CF1-63EF8047C26B}"/>
              </a:ext>
            </a:extLst>
          </xdr:cNvPr>
          <xdr:cNvSpPr>
            <a:spLocks noChangeArrowheads="1"/>
          </xdr:cNvSpPr>
        </xdr:nvSpPr>
        <xdr:spPr bwMode="auto">
          <a:xfrm>
            <a:off x="138" y="561"/>
            <a:ext cx="50" cy="2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0000" mc:Ignorable="a14" a14:legacySpreadsheetColorIndex="10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</xdr:row>
      <xdr:rowOff>0</xdr:rowOff>
    </xdr:from>
    <xdr:to>
      <xdr:col>2</xdr:col>
      <xdr:colOff>9525</xdr:colOff>
      <xdr:row>3</xdr:row>
      <xdr:rowOff>0</xdr:rowOff>
    </xdr:to>
    <xdr:sp macro="" textlink="">
      <xdr:nvSpPr>
        <xdr:cNvPr id="1128" name="Text Box 104">
          <a:extLst>
            <a:ext uri="{FF2B5EF4-FFF2-40B4-BE49-F238E27FC236}">
              <a16:creationId xmlns:a16="http://schemas.microsoft.com/office/drawing/2014/main" id="{8FABD8FF-539C-D36A-B29A-40EB1ABDAC6E}"/>
            </a:ext>
          </a:extLst>
        </xdr:cNvPr>
        <xdr:cNvSpPr txBox="1">
          <a:spLocks noChangeArrowheads="1"/>
        </xdr:cNvSpPr>
      </xdr:nvSpPr>
      <xdr:spPr bwMode="auto">
        <a:xfrm>
          <a:off x="2590800" y="809625"/>
          <a:ext cx="62865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CL" sz="900" b="1" i="0" u="none" strike="noStrike" baseline="0">
              <a:solidFill>
                <a:srgbClr val="000000"/>
              </a:solidFill>
              <a:latin typeface="Arial Narrow"/>
            </a:rPr>
            <a:t>Aparición</a:t>
          </a:r>
        </a:p>
        <a:p>
          <a:pPr algn="ctr" rtl="0">
            <a:defRPr sz="1000"/>
          </a:pPr>
          <a:r>
            <a:rPr lang="es-CL" sz="600" b="1" i="0" u="none" strike="noStrike" baseline="0">
              <a:solidFill>
                <a:srgbClr val="000000"/>
              </a:solidFill>
              <a:latin typeface="Arial Narrow"/>
            </a:rPr>
            <a:t>probabilidad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9525</xdr:colOff>
      <xdr:row>3</xdr:row>
      <xdr:rowOff>0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F14ADF6D-0FBB-AED0-62F0-7116BC5455F9}"/>
            </a:ext>
          </a:extLst>
        </xdr:cNvPr>
        <xdr:cNvSpPr txBox="1">
          <a:spLocks noChangeArrowheads="1"/>
        </xdr:cNvSpPr>
      </xdr:nvSpPr>
      <xdr:spPr bwMode="auto">
        <a:xfrm>
          <a:off x="3209925" y="809625"/>
          <a:ext cx="52387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CL" sz="900" b="1" i="0" u="none" strike="noStrike" baseline="0">
              <a:solidFill>
                <a:srgbClr val="000000"/>
              </a:solidFill>
              <a:latin typeface="Arial Narrow"/>
            </a:rPr>
            <a:t>Gravedad</a:t>
          </a:r>
        </a:p>
        <a:p>
          <a:pPr algn="ctr" rtl="0">
            <a:defRPr sz="1000"/>
          </a:pPr>
          <a:r>
            <a:rPr lang="es-CL" sz="900" b="1" i="0" u="none" strike="noStrike" baseline="0">
              <a:solidFill>
                <a:srgbClr val="000000"/>
              </a:solidFill>
              <a:latin typeface="Arial Narrow"/>
            </a:rPr>
            <a:t>(Impacto)</a:t>
          </a: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1130" name="Text Box 106">
          <a:extLst>
            <a:ext uri="{FF2B5EF4-FFF2-40B4-BE49-F238E27FC236}">
              <a16:creationId xmlns:a16="http://schemas.microsoft.com/office/drawing/2014/main" id="{A2BC9648-444E-7D1E-C2BD-D5BB5602C285}"/>
            </a:ext>
          </a:extLst>
        </xdr:cNvPr>
        <xdr:cNvSpPr txBox="1">
          <a:spLocks noChangeArrowheads="1"/>
        </xdr:cNvSpPr>
      </xdr:nvSpPr>
      <xdr:spPr bwMode="auto">
        <a:xfrm>
          <a:off x="3724275" y="809625"/>
          <a:ext cx="52387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CL" sz="900" b="1" i="0" u="none" strike="noStrike" baseline="0">
              <a:solidFill>
                <a:srgbClr val="000000"/>
              </a:solidFill>
              <a:latin typeface="Arial Narrow"/>
            </a:rPr>
            <a:t>Valor del Riesgo</a:t>
          </a: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DDDC9E64-1C0A-5E5B-0F8A-A46E2B24140A}"/>
            </a:ext>
          </a:extLst>
        </xdr:cNvPr>
        <xdr:cNvSpPr txBox="1">
          <a:spLocks noChangeArrowheads="1"/>
        </xdr:cNvSpPr>
      </xdr:nvSpPr>
      <xdr:spPr bwMode="auto">
        <a:xfrm>
          <a:off x="4248150" y="809625"/>
          <a:ext cx="6191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CL" sz="900" b="1" i="0" u="none" strike="noStrike" baseline="0">
              <a:solidFill>
                <a:srgbClr val="000000"/>
              </a:solidFill>
              <a:latin typeface="Arial Narrow"/>
            </a:rPr>
            <a:t>Nivel de Riesgo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471488</xdr:colOff>
          <xdr:row>18</xdr:row>
          <xdr:rowOff>95250</xdr:rowOff>
        </xdr:from>
        <xdr:to>
          <xdr:col>5</xdr:col>
          <xdr:colOff>9525</xdr:colOff>
          <xdr:row>20</xdr:row>
          <xdr:rowOff>114300</xdr:rowOff>
        </xdr:to>
        <xdr:sp macro="" textlink="">
          <xdr:nvSpPr>
            <xdr:cNvPr id="1135" name="Butto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4DCBFE90-3A4A-EC5C-D675-76D3A2582A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Borrar Datos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3A41-F10F-4BDA-A239-9C728EE8DC77}">
  <sheetPr codeName="Hoja1"/>
  <dimension ref="A1:N23"/>
  <sheetViews>
    <sheetView showGridLines="0" tabSelected="1" topLeftCell="A2" zoomScaleNormal="100" workbookViewId="0">
      <selection activeCell="C18" sqref="C18"/>
    </sheetView>
  </sheetViews>
  <sheetFormatPr baseColWidth="10" defaultRowHeight="12.75" x14ac:dyDescent="0.35"/>
  <cols>
    <col min="1" max="1" width="38.86328125" customWidth="1"/>
    <col min="2" max="2" width="9.265625" customWidth="1"/>
    <col min="3" max="3" width="7.73046875" customWidth="1"/>
    <col min="4" max="4" width="7.86328125" customWidth="1"/>
    <col min="5" max="5" width="9.265625" customWidth="1"/>
    <col min="6" max="6" width="1" customWidth="1"/>
    <col min="7" max="7" width="13" customWidth="1"/>
    <col min="8" max="8" width="9.59765625" customWidth="1"/>
    <col min="9" max="9" width="3.3984375" customWidth="1"/>
    <col min="10" max="10" width="8.59765625" customWidth="1"/>
    <col min="11" max="11" width="7.86328125" customWidth="1"/>
    <col min="12" max="12" width="7.59765625" customWidth="1"/>
    <col min="13" max="13" width="6.59765625" customWidth="1"/>
    <col min="14" max="14" width="8.59765625" customWidth="1"/>
  </cols>
  <sheetData>
    <row r="1" spans="1:14" ht="43.5" customHeight="1" thickBot="1" x14ac:dyDescent="0.4">
      <c r="A1" s="18" t="s">
        <v>0</v>
      </c>
      <c r="B1" s="19"/>
      <c r="C1" s="19"/>
      <c r="D1" s="19"/>
      <c r="E1" s="20"/>
      <c r="G1" s="27" t="s">
        <v>7</v>
      </c>
      <c r="H1" s="28"/>
      <c r="I1" s="28"/>
      <c r="J1" s="28"/>
      <c r="K1" s="28"/>
      <c r="L1" s="28"/>
      <c r="M1" s="28"/>
      <c r="N1" s="29"/>
    </row>
    <row r="2" spans="1:14" ht="20.25" customHeight="1" x14ac:dyDescent="0.35">
      <c r="F2" s="5"/>
      <c r="G2" s="7"/>
      <c r="J2" s="21" t="s">
        <v>8</v>
      </c>
      <c r="K2" s="22"/>
      <c r="L2" s="22"/>
      <c r="M2" s="22"/>
      <c r="N2" s="23"/>
    </row>
    <row r="3" spans="1:14" ht="30" customHeight="1" x14ac:dyDescent="0.35">
      <c r="A3" s="3" t="s">
        <v>6</v>
      </c>
      <c r="B3" s="4"/>
      <c r="C3" s="4"/>
      <c r="D3" s="4"/>
      <c r="E3" s="4"/>
      <c r="J3" s="17" t="s">
        <v>9</v>
      </c>
      <c r="K3" s="17" t="s">
        <v>10</v>
      </c>
      <c r="L3" s="17" t="s">
        <v>11</v>
      </c>
      <c r="M3" s="17" t="s">
        <v>12</v>
      </c>
      <c r="N3" s="17" t="s">
        <v>13</v>
      </c>
    </row>
    <row r="4" spans="1:14" ht="13.15" x14ac:dyDescent="0.4">
      <c r="A4" s="30" t="s">
        <v>15</v>
      </c>
      <c r="B4" s="30">
        <v>3</v>
      </c>
      <c r="C4" s="30">
        <v>4</v>
      </c>
      <c r="D4" s="10">
        <v>0</v>
      </c>
      <c r="E4" s="11" t="str">
        <f>IF(AND(15&lt;=D4,D4&lt;=25),"Muy grave",IF(9&lt;=D4,"Importante",IF(3&lt;=D4,"Apreciable","Marginal")))</f>
        <v>Marginal</v>
      </c>
      <c r="G4" s="24" t="s">
        <v>14</v>
      </c>
      <c r="H4" s="16" t="s">
        <v>1</v>
      </c>
      <c r="I4" s="6">
        <v>5</v>
      </c>
      <c r="J4" s="12">
        <v>5</v>
      </c>
      <c r="K4" s="13">
        <v>10</v>
      </c>
      <c r="L4" s="14">
        <v>15</v>
      </c>
      <c r="M4" s="14">
        <v>20</v>
      </c>
      <c r="N4" s="14">
        <v>25</v>
      </c>
    </row>
    <row r="5" spans="1:14" ht="25.5" x14ac:dyDescent="0.4">
      <c r="A5" s="30" t="s">
        <v>16</v>
      </c>
      <c r="B5" s="30">
        <v>3</v>
      </c>
      <c r="C5" s="30">
        <v>3</v>
      </c>
      <c r="D5" s="10">
        <f t="shared" ref="D5:D18" si="0">B5*C5</f>
        <v>9</v>
      </c>
      <c r="E5" s="11" t="str">
        <f>IF(AND(15&lt;=D5,D5&lt;=25),"Muy grave",IF(9&lt;=D5,"Importante",IF(3&lt;=D5,"Apreciable","Marginal")))</f>
        <v>Importante</v>
      </c>
      <c r="G5" s="25"/>
      <c r="H5" s="16" t="s">
        <v>2</v>
      </c>
      <c r="I5" s="6">
        <v>4</v>
      </c>
      <c r="J5" s="12">
        <v>4</v>
      </c>
      <c r="K5" s="12">
        <v>8</v>
      </c>
      <c r="L5" s="13">
        <v>12</v>
      </c>
      <c r="M5" s="14">
        <v>16</v>
      </c>
      <c r="N5" s="14">
        <v>20</v>
      </c>
    </row>
    <row r="6" spans="1:14" ht="25.5" x14ac:dyDescent="0.4">
      <c r="A6" s="30" t="s">
        <v>17</v>
      </c>
      <c r="B6" s="30">
        <v>3</v>
      </c>
      <c r="C6" s="30">
        <v>3</v>
      </c>
      <c r="D6" s="10">
        <f>B6*C6</f>
        <v>9</v>
      </c>
      <c r="E6" s="11" t="str">
        <f t="shared" ref="E6:E18" si="1">IF(AND(15&lt;=D6,D6&lt;=25),"Muy grave",IF(9&lt;=D6,"Importante",IF(3&lt;=D6,"Apreciable","Marginal")))</f>
        <v>Importante</v>
      </c>
      <c r="G6" s="25"/>
      <c r="H6" s="16" t="s">
        <v>3</v>
      </c>
      <c r="I6" s="6">
        <v>3</v>
      </c>
      <c r="J6" s="12">
        <v>3</v>
      </c>
      <c r="K6" s="12">
        <v>6</v>
      </c>
      <c r="L6" s="13">
        <v>9</v>
      </c>
      <c r="M6" s="13">
        <v>12</v>
      </c>
      <c r="N6" s="14">
        <v>15</v>
      </c>
    </row>
    <row r="7" spans="1:14" ht="25.5" x14ac:dyDescent="0.4">
      <c r="A7" s="30" t="s">
        <v>18</v>
      </c>
      <c r="B7" s="30">
        <v>2</v>
      </c>
      <c r="C7" s="30">
        <v>4</v>
      </c>
      <c r="D7" s="10">
        <f t="shared" si="0"/>
        <v>8</v>
      </c>
      <c r="E7" s="11" t="str">
        <f t="shared" si="1"/>
        <v>Apreciable</v>
      </c>
      <c r="G7" s="25"/>
      <c r="H7" s="16" t="s">
        <v>4</v>
      </c>
      <c r="I7" s="6">
        <v>2</v>
      </c>
      <c r="J7" s="15">
        <v>2</v>
      </c>
      <c r="K7" s="12">
        <v>4</v>
      </c>
      <c r="L7" s="12">
        <v>6</v>
      </c>
      <c r="M7" s="12">
        <v>8</v>
      </c>
      <c r="N7" s="13">
        <v>12</v>
      </c>
    </row>
    <row r="8" spans="1:14" ht="13.15" x14ac:dyDescent="0.4">
      <c r="A8" s="30" t="s">
        <v>19</v>
      </c>
      <c r="B8" s="30">
        <v>3</v>
      </c>
      <c r="C8" s="30">
        <v>4</v>
      </c>
      <c r="D8" s="10">
        <f t="shared" si="0"/>
        <v>12</v>
      </c>
      <c r="E8" s="11" t="str">
        <f t="shared" si="1"/>
        <v>Importante</v>
      </c>
      <c r="G8" s="26"/>
      <c r="H8" s="16" t="s">
        <v>5</v>
      </c>
      <c r="I8" s="6">
        <v>1</v>
      </c>
      <c r="J8" s="15">
        <v>1</v>
      </c>
      <c r="K8" s="15">
        <v>2</v>
      </c>
      <c r="L8" s="12">
        <v>3</v>
      </c>
      <c r="M8" s="12">
        <v>4</v>
      </c>
      <c r="N8" s="12">
        <v>5</v>
      </c>
    </row>
    <row r="9" spans="1:14" ht="25.5" x14ac:dyDescent="0.35">
      <c r="A9" s="30" t="s">
        <v>20</v>
      </c>
      <c r="B9" s="30">
        <v>3</v>
      </c>
      <c r="C9" s="30">
        <v>4</v>
      </c>
      <c r="D9" s="10">
        <f t="shared" si="0"/>
        <v>12</v>
      </c>
      <c r="E9" s="11" t="str">
        <f t="shared" si="1"/>
        <v>Importante</v>
      </c>
    </row>
    <row r="10" spans="1:14" ht="25.5" x14ac:dyDescent="0.35">
      <c r="A10" s="30" t="s">
        <v>21</v>
      </c>
      <c r="B10" s="30">
        <v>2</v>
      </c>
      <c r="C10" s="30">
        <v>4</v>
      </c>
      <c r="D10" s="10">
        <f t="shared" si="0"/>
        <v>8</v>
      </c>
      <c r="E10" s="11" t="str">
        <f t="shared" si="1"/>
        <v>Apreciable</v>
      </c>
    </row>
    <row r="11" spans="1:14" ht="25.5" x14ac:dyDescent="0.35">
      <c r="A11" s="30" t="s">
        <v>22</v>
      </c>
      <c r="B11" s="30">
        <v>2</v>
      </c>
      <c r="C11" s="30">
        <v>5</v>
      </c>
      <c r="D11" s="10">
        <f t="shared" si="0"/>
        <v>10</v>
      </c>
      <c r="E11" s="11" t="str">
        <f t="shared" si="1"/>
        <v>Importante</v>
      </c>
    </row>
    <row r="12" spans="1:14" x14ac:dyDescent="0.35">
      <c r="A12" s="30" t="s">
        <v>23</v>
      </c>
      <c r="B12" s="30">
        <v>3</v>
      </c>
      <c r="C12" s="30">
        <v>4</v>
      </c>
      <c r="D12" s="10">
        <f t="shared" si="0"/>
        <v>12</v>
      </c>
      <c r="E12" s="11" t="str">
        <f t="shared" si="1"/>
        <v>Importante</v>
      </c>
    </row>
    <row r="13" spans="1:14" ht="25.5" x14ac:dyDescent="0.35">
      <c r="A13" s="30" t="s">
        <v>24</v>
      </c>
      <c r="B13" s="30">
        <v>3</v>
      </c>
      <c r="C13" s="30">
        <v>4</v>
      </c>
      <c r="D13" s="10">
        <f t="shared" si="0"/>
        <v>12</v>
      </c>
      <c r="E13" s="11" t="str">
        <f t="shared" si="1"/>
        <v>Importante</v>
      </c>
    </row>
    <row r="14" spans="1:14" ht="25.5" x14ac:dyDescent="0.35">
      <c r="A14" s="30" t="s">
        <v>25</v>
      </c>
      <c r="B14" s="30">
        <v>3</v>
      </c>
      <c r="C14" s="30">
        <v>4</v>
      </c>
      <c r="D14" s="10">
        <f t="shared" si="0"/>
        <v>12</v>
      </c>
      <c r="E14" s="11" t="str">
        <f t="shared" si="1"/>
        <v>Importante</v>
      </c>
    </row>
    <row r="15" spans="1:14" ht="25.5" x14ac:dyDescent="0.35">
      <c r="A15" s="30" t="s">
        <v>26</v>
      </c>
      <c r="B15" s="30">
        <v>3</v>
      </c>
      <c r="C15" s="30">
        <v>4</v>
      </c>
      <c r="D15" s="10">
        <f t="shared" si="0"/>
        <v>12</v>
      </c>
      <c r="E15" s="11" t="str">
        <f t="shared" si="1"/>
        <v>Importante</v>
      </c>
    </row>
    <row r="16" spans="1:14" x14ac:dyDescent="0.35">
      <c r="A16" s="30" t="s">
        <v>27</v>
      </c>
      <c r="B16" s="30">
        <v>3</v>
      </c>
      <c r="C16" s="30">
        <v>3</v>
      </c>
      <c r="D16" s="10">
        <f t="shared" si="0"/>
        <v>9</v>
      </c>
      <c r="E16" s="11" t="str">
        <f t="shared" si="1"/>
        <v>Importante</v>
      </c>
    </row>
    <row r="17" spans="1:5" x14ac:dyDescent="0.35">
      <c r="A17" s="30" t="s">
        <v>28</v>
      </c>
      <c r="B17" s="30">
        <v>2</v>
      </c>
      <c r="C17" s="30">
        <v>3</v>
      </c>
      <c r="D17" s="10">
        <f t="shared" si="0"/>
        <v>6</v>
      </c>
      <c r="E17" s="11" t="str">
        <f t="shared" si="1"/>
        <v>Apreciable</v>
      </c>
    </row>
    <row r="18" spans="1:5" ht="13.5" customHeight="1" x14ac:dyDescent="0.35">
      <c r="A18" s="9"/>
      <c r="B18" s="8"/>
      <c r="C18" s="8"/>
      <c r="D18" s="10">
        <f t="shared" si="0"/>
        <v>0</v>
      </c>
      <c r="E18" s="11" t="str">
        <f t="shared" si="1"/>
        <v>Marginal</v>
      </c>
    </row>
    <row r="19" spans="1:5" x14ac:dyDescent="0.35">
      <c r="E19" s="7"/>
    </row>
    <row r="20" spans="1:5" x14ac:dyDescent="0.35">
      <c r="A20" s="2"/>
      <c r="B20" s="1"/>
      <c r="E20" s="7"/>
    </row>
    <row r="21" spans="1:5" x14ac:dyDescent="0.35">
      <c r="E21" s="7"/>
    </row>
    <row r="22" spans="1:5" x14ac:dyDescent="0.35">
      <c r="E22" s="7"/>
    </row>
    <row r="23" spans="1:5" x14ac:dyDescent="0.35">
      <c r="E23" s="7"/>
    </row>
  </sheetData>
  <sheetProtection selectLockedCells="1"/>
  <mergeCells count="4">
    <mergeCell ref="A1:E1"/>
    <mergeCell ref="J2:N2"/>
    <mergeCell ref="G4:G8"/>
    <mergeCell ref="G1:N1"/>
  </mergeCells>
  <phoneticPr fontId="5" type="noConversion"/>
  <printOptions horizontalCentered="1" verticalCentered="1"/>
  <pageMargins left="0.47244094488188981" right="0.31496062992125984" top="0.98425196850393704" bottom="0.98425196850393704" header="0" footer="0"/>
  <pageSetup paperSize="9" orientation="landscape" horizontalDpi="0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5" r:id="rId4" name="Button 111">
              <controlPr defaultSize="0" print="0" autoFill="0" autoPict="0" macro="[0]!borrardatos">
                <anchor moveWithCells="1" sizeWithCells="1">
                  <from>
                    <xdr:col>2</xdr:col>
                    <xdr:colOff>471488</xdr:colOff>
                    <xdr:row>18</xdr:row>
                    <xdr:rowOff>95250</xdr:rowOff>
                  </from>
                  <to>
                    <xdr:col>5</xdr:col>
                    <xdr:colOff>9525</xdr:colOff>
                    <xdr:row>20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212F-723B-4126-8D9E-A0315A5F418C}">
  <dimension ref="A1"/>
  <sheetViews>
    <sheetView workbookViewId="0"/>
  </sheetViews>
  <sheetFormatPr baseColWidth="10" defaultRowHeight="12.7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matriz de riesgos</dc:title>
  <dc:creator>Miguel Recio</dc:creator>
  <cp:lastModifiedBy>Bárbara Tolorza</cp:lastModifiedBy>
  <cp:lastPrinted>2006-03-12T21:43:52Z</cp:lastPrinted>
  <dcterms:created xsi:type="dcterms:W3CDTF">2005-12-18T12:34:24Z</dcterms:created>
  <dcterms:modified xsi:type="dcterms:W3CDTF">2026-06-21T05:21:34Z</dcterms:modified>
</cp:coreProperties>
</file>